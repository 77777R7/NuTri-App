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 Health Dashboard" sheetId="1" state="visible" r:id="rId1"/>
    <sheet name="The Stubborn Outliers" sheetId="2" state="visible" r:id="rId2"/>
    <sheet name="_raw_deltas" sheetId="3" state="hidden" r:id="rId3"/>
    <sheet name="Score Cliff Analysis" sheetId="4" state="visible" r:id="rId4"/>
    <sheet name="Data Hygie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1" fontId="0" fillId="0" borderId="1" pivotButton="0" quotePrefix="0" xfId="0"/>
    <xf numFmtId="10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2" customWidth="1" min="5" max="5"/>
    <col width="10" customWidth="1" min="6" max="6"/>
  </cols>
  <sheetData>
    <row r="1">
      <c r="A1" s="1" t="inlineStr">
        <is>
          <t>Iteration</t>
        </is>
      </c>
      <c r="B1" s="1" t="inlineStr">
        <is>
          <t>Processed Count</t>
        </is>
      </c>
      <c r="C1" s="1" t="inlineStr">
        <is>
          <t>Hard Failures</t>
        </is>
      </c>
      <c r="D1" s="1" t="inlineStr">
        <is>
          <t>GT20 Ratio</t>
        </is>
      </c>
      <c r="E1" s="1" t="inlineStr">
        <is>
          <t>GT10 Ratio</t>
        </is>
      </c>
      <c r="F1" s="1" t="inlineStr">
        <is>
          <t>Status</t>
        </is>
      </c>
    </row>
    <row r="2">
      <c r="A2" s="2" t="inlineStr">
        <is>
          <t>v1</t>
        </is>
      </c>
      <c r="B2" s="3" t="n">
        <v>11000</v>
      </c>
      <c r="C2" s="4" t="n">
        <v>0</v>
      </c>
      <c r="D2" s="5" t="n">
        <v>0.0265</v>
      </c>
      <c r="E2" s="5" t="n">
        <v>0.0654</v>
      </c>
      <c r="F2" s="2">
        <f>IF(OR(C2&gt;0,D2&gt;0.01,E2&gt;0.05),"FAIL","PASS")</f>
        <v/>
      </c>
    </row>
    <row r="3">
      <c r="A3" s="2" t="inlineStr">
        <is>
          <t>v2</t>
        </is>
      </c>
      <c r="B3" s="3" t="n">
        <v>11000</v>
      </c>
      <c r="C3" s="4" t="n">
        <v>0</v>
      </c>
      <c r="D3" s="5" t="n">
        <v>0.0263</v>
      </c>
      <c r="E3" s="5" t="n">
        <v>0.065</v>
      </c>
      <c r="F3" s="2">
        <f>IF(OR(C3&gt;0,D3&gt;0.01,E3&gt;0.05),"FAIL","PASS")</f>
        <v/>
      </c>
    </row>
    <row r="4">
      <c r="A4" s="2" t="inlineStr">
        <is>
          <t>v3</t>
        </is>
      </c>
      <c r="B4" s="3" t="n">
        <v>11000</v>
      </c>
      <c r="C4" s="4" t="n">
        <v>1</v>
      </c>
      <c r="D4" s="5" t="n">
        <v>0.0263</v>
      </c>
      <c r="E4" s="5" t="n">
        <v>0.0655</v>
      </c>
      <c r="F4" s="2">
        <f>IF(OR(C4&gt;0,D4&gt;0.01,E4&gt;0.05),"FAIL","PASS")</f>
        <v/>
      </c>
    </row>
  </sheetData>
  <conditionalFormatting sqref="C2:C4">
    <cfRule type="cellIs" priority="1" operator="equal" dxfId="0">
      <formula>0</formula>
    </cfRule>
    <cfRule type="cellIs" priority="2" operator="greaterThan" dxfId="1">
      <formula>0</formula>
    </cfRule>
  </conditionalFormatting>
  <conditionalFormatting sqref="D2:D4">
    <cfRule type="cellIs" priority="3" operator="lessThanOrEqual" dxfId="0">
      <formula>0.01</formula>
    </cfRule>
    <cfRule type="cellIs" priority="4" operator="greaterThan" dxfId="1">
      <formula>0.01</formula>
    </cfRule>
  </conditionalFormatting>
  <conditionalFormatting sqref="E2:E4">
    <cfRule type="cellIs" priority="5" operator="lessThanOrEqual" dxfId="0">
      <formula>0.05</formula>
    </cfRule>
    <cfRule type="cellIs" priority="6" operator="greaterThan" dxfId="1">
      <formula>0.05</formula>
    </cfRule>
  </conditionalFormatting>
  <conditionalFormatting sqref="F2:F4">
    <cfRule type="expression" priority="7" dxfId="0">
      <formula>F2="PASS"</formula>
    </cfRule>
    <cfRule type="expression" priority="8" dxfId="1">
      <formula>F2="FAIL"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6" customWidth="1" min="4" max="4"/>
    <col width="12" customWidth="1" min="5" max="5"/>
  </cols>
  <sheetData>
    <row r="1">
      <c r="A1" s="1" t="inlineStr">
        <is>
          <t>Source ID</t>
        </is>
      </c>
      <c r="B1" s="1" t="inlineStr">
        <is>
          <t>Product Name</t>
        </is>
      </c>
      <c r="C1" s="1" t="inlineStr">
        <is>
          <t>Score Delta (v1)</t>
        </is>
      </c>
      <c r="D1" s="1" t="inlineStr">
        <is>
          <t>Score Delta (v3)</t>
        </is>
      </c>
      <c r="E1" s="1" t="inlineStr">
        <is>
          <t>Is Constant?</t>
        </is>
      </c>
    </row>
    <row r="2">
      <c r="A2" s="2" t="inlineStr">
        <is>
          <t>80053301</t>
        </is>
      </c>
      <c r="B2" s="2" t="inlineStr"/>
      <c r="C2" s="6" t="n">
        <v>-38.89</v>
      </c>
      <c r="D2" s="6" t="n">
        <v>-38.89</v>
      </c>
      <c r="E2" s="2">
        <f>ABS(C2-D2)&lt;1</f>
        <v/>
      </c>
    </row>
    <row r="3">
      <c r="A3" s="2" t="inlineStr">
        <is>
          <t>80079782</t>
        </is>
      </c>
      <c r="B3" s="2" t="inlineStr"/>
      <c r="C3" s="6" t="n">
        <v>-38.89</v>
      </c>
      <c r="D3" s="6" t="n">
        <v>-38.89</v>
      </c>
      <c r="E3" s="2">
        <f>ABS(C3-D3)&lt;1</f>
        <v/>
      </c>
    </row>
    <row r="4">
      <c r="A4" s="2" t="inlineStr">
        <is>
          <t>80076558</t>
        </is>
      </c>
      <c r="B4" s="2" t="inlineStr"/>
      <c r="C4" s="6" t="n">
        <v>-38.69</v>
      </c>
      <c r="D4" s="6" t="n">
        <v>-38.69</v>
      </c>
      <c r="E4" s="2">
        <f>ABS(C4-D4)&lt;1</f>
        <v/>
      </c>
    </row>
    <row r="5">
      <c r="A5" s="2" t="inlineStr">
        <is>
          <t>80080790</t>
        </is>
      </c>
      <c r="B5" s="2" t="inlineStr"/>
      <c r="C5" s="6" t="n">
        <v>-38.67</v>
      </c>
      <c r="D5" s="6" t="n">
        <v>-38.67</v>
      </c>
      <c r="E5" s="2">
        <f>ABS(C5-D5)&lt;1</f>
        <v/>
      </c>
    </row>
    <row r="6">
      <c r="A6" s="2" t="inlineStr">
        <is>
          <t>80007555</t>
        </is>
      </c>
      <c r="B6" s="2" t="inlineStr"/>
      <c r="C6" s="6" t="n">
        <v>37.84</v>
      </c>
      <c r="D6" s="6" t="n">
        <v>37.84</v>
      </c>
      <c r="E6" s="2">
        <f>ABS(C6-D6)&lt;1</f>
        <v/>
      </c>
    </row>
    <row r="7">
      <c r="A7" s="2" t="inlineStr">
        <is>
          <t>80018325</t>
        </is>
      </c>
      <c r="B7" s="2" t="inlineStr"/>
      <c r="C7" s="6" t="n">
        <v>37.84</v>
      </c>
      <c r="D7" s="6" t="n">
        <v>37.84</v>
      </c>
      <c r="E7" s="2">
        <f>ABS(C7-D7)&lt;1</f>
        <v/>
      </c>
    </row>
    <row r="8">
      <c r="A8" s="2" t="inlineStr">
        <is>
          <t>80005954</t>
        </is>
      </c>
      <c r="B8" s="2" t="inlineStr"/>
      <c r="C8" s="6" t="n">
        <v>37.83</v>
      </c>
      <c r="D8" s="6" t="n">
        <v>37.83</v>
      </c>
      <c r="E8" s="2">
        <f>ABS(C8-D8)&lt;1</f>
        <v/>
      </c>
    </row>
    <row r="9">
      <c r="A9" s="2" t="inlineStr">
        <is>
          <t>80050775</t>
        </is>
      </c>
      <c r="B9" s="2" t="inlineStr"/>
      <c r="C9" s="6" t="n">
        <v>37.13</v>
      </c>
      <c r="D9" s="6" t="n">
        <v>37.13</v>
      </c>
      <c r="E9" s="2">
        <f>ABS(C9-D9)&lt;1</f>
        <v/>
      </c>
    </row>
    <row r="10">
      <c r="A10" s="2" t="inlineStr">
        <is>
          <t>80050778</t>
        </is>
      </c>
      <c r="B10" s="2" t="inlineStr"/>
      <c r="C10" s="6" t="n">
        <v>37.13</v>
      </c>
      <c r="D10" s="6" t="n">
        <v>37.13</v>
      </c>
      <c r="E10" s="2">
        <f>ABS(C10-D10)&lt;1</f>
        <v/>
      </c>
    </row>
    <row r="11">
      <c r="A11" s="2" t="inlineStr">
        <is>
          <t>80095507</t>
        </is>
      </c>
      <c r="B11" s="2" t="inlineStr"/>
      <c r="C11" s="6" t="n">
        <v>37.13</v>
      </c>
      <c r="D11" s="6" t="n">
        <v>37.13</v>
      </c>
      <c r="E11" s="2">
        <f>ABS(C11-D11)&lt;1</f>
        <v/>
      </c>
    </row>
    <row r="12">
      <c r="A12" s="2" t="inlineStr">
        <is>
          <t>80045890</t>
        </is>
      </c>
      <c r="B12" s="2" t="inlineStr"/>
      <c r="C12" s="6" t="n">
        <v>37.13</v>
      </c>
      <c r="D12" s="6" t="n">
        <v>37.13</v>
      </c>
      <c r="E12" s="2">
        <f>ABS(C12-D12)&lt;1</f>
        <v/>
      </c>
    </row>
    <row r="13">
      <c r="A13" s="2" t="inlineStr">
        <is>
          <t>80050777</t>
        </is>
      </c>
      <c r="B13" s="2" t="inlineStr"/>
      <c r="C13" s="6" t="n">
        <v>37.13</v>
      </c>
      <c r="D13" s="6" t="n">
        <v>37.13</v>
      </c>
      <c r="E13" s="2">
        <f>ABS(C13-D13)&lt;1</f>
        <v/>
      </c>
    </row>
    <row r="14">
      <c r="A14" s="2" t="inlineStr">
        <is>
          <t>80050771</t>
        </is>
      </c>
      <c r="B14" s="2" t="inlineStr"/>
      <c r="C14" s="6" t="n">
        <v>37.13</v>
      </c>
      <c r="D14" s="6" t="n">
        <v>37.13</v>
      </c>
      <c r="E14" s="2">
        <f>ABS(C14-D14)&lt;1</f>
        <v/>
      </c>
    </row>
    <row r="15">
      <c r="A15" s="2" t="inlineStr">
        <is>
          <t>80079222</t>
        </is>
      </c>
      <c r="B15" s="2" t="inlineStr"/>
      <c r="C15" s="6" t="n">
        <v>-37.13</v>
      </c>
      <c r="D15" s="6" t="n">
        <v>-37.13</v>
      </c>
      <c r="E15" s="2">
        <f>ABS(C15-D15)&lt;1</f>
        <v/>
      </c>
    </row>
    <row r="16">
      <c r="A16" s="2" t="inlineStr">
        <is>
          <t>80050769</t>
        </is>
      </c>
      <c r="B16" s="2" t="inlineStr"/>
      <c r="C16" s="6" t="n">
        <v>37.13</v>
      </c>
      <c r="D16" s="6" t="n">
        <v>37.13</v>
      </c>
      <c r="E16" s="2">
        <f>ABS(C16-D16)&lt;1</f>
        <v/>
      </c>
    </row>
    <row r="17">
      <c r="A17" s="2" t="inlineStr">
        <is>
          <t>80050781</t>
        </is>
      </c>
      <c r="B17" s="2" t="inlineStr"/>
      <c r="C17" s="6" t="n">
        <v>37.13</v>
      </c>
      <c r="D17" s="6" t="n">
        <v>37.13</v>
      </c>
      <c r="E17" s="2">
        <f>ABS(C17-D17)&lt;1</f>
        <v/>
      </c>
    </row>
    <row r="18">
      <c r="A18" s="2" t="inlineStr">
        <is>
          <t>80050773</t>
        </is>
      </c>
      <c r="B18" s="2" t="inlineStr"/>
      <c r="C18" s="6" t="n">
        <v>37.13</v>
      </c>
      <c r="D18" s="6" t="n">
        <v>37.13</v>
      </c>
      <c r="E18" s="2">
        <f>ABS(C18-D18)&lt;1</f>
        <v/>
      </c>
    </row>
    <row r="19">
      <c r="A19" s="2" t="inlineStr">
        <is>
          <t>80050893</t>
        </is>
      </c>
      <c r="B19" s="2" t="inlineStr"/>
      <c r="C19" s="6" t="n">
        <v>37.13</v>
      </c>
      <c r="D19" s="6" t="n">
        <v>37.13</v>
      </c>
      <c r="E19" s="2">
        <f>ABS(C19-D19)&lt;1</f>
        <v/>
      </c>
    </row>
    <row r="20">
      <c r="A20" s="2" t="inlineStr">
        <is>
          <t>80081010</t>
        </is>
      </c>
      <c r="B20" s="2" t="inlineStr"/>
      <c r="C20" s="6" t="n">
        <v>37.13</v>
      </c>
      <c r="D20" s="6" t="n">
        <v>37.13</v>
      </c>
      <c r="E20" s="2">
        <f>ABS(C20-D20)&lt;1</f>
        <v/>
      </c>
    </row>
    <row r="21">
      <c r="A21" s="2" t="inlineStr">
        <is>
          <t>80050779</t>
        </is>
      </c>
      <c r="B21" s="2" t="inlineStr"/>
      <c r="C21" s="6" t="n">
        <v>37.13</v>
      </c>
      <c r="D21" s="6" t="n">
        <v>37.13</v>
      </c>
      <c r="E21" s="2">
        <f>ABS(C21-D21)&lt;1</f>
        <v/>
      </c>
    </row>
    <row r="22">
      <c r="A22" s="2" t="inlineStr">
        <is>
          <t>80050776</t>
        </is>
      </c>
      <c r="B22" s="2" t="inlineStr"/>
      <c r="C22" s="6" t="n">
        <v>37.13</v>
      </c>
      <c r="D22" s="6" t="n">
        <v>37.13</v>
      </c>
      <c r="E22" s="2">
        <f>ABS(C22-D22)&lt;1</f>
        <v/>
      </c>
    </row>
    <row r="23">
      <c r="A23" s="2" t="inlineStr">
        <is>
          <t>80058564</t>
        </is>
      </c>
      <c r="B23" s="2" t="inlineStr"/>
      <c r="C23" s="6" t="n">
        <v>37.13</v>
      </c>
      <c r="D23" s="6" t="n">
        <v>37.13</v>
      </c>
      <c r="E23" s="2">
        <f>ABS(C23-D23)&lt;1</f>
        <v/>
      </c>
    </row>
    <row r="24">
      <c r="A24" s="2" t="inlineStr">
        <is>
          <t>80051332</t>
        </is>
      </c>
      <c r="B24" s="2" t="inlineStr"/>
      <c r="C24" s="6" t="n">
        <v>-36.67</v>
      </c>
      <c r="D24" s="6" t="n">
        <v>-36.67</v>
      </c>
      <c r="E24" s="2">
        <f>ABS(C24-D24)&lt;1</f>
        <v/>
      </c>
    </row>
    <row r="25">
      <c r="A25" s="2" t="inlineStr">
        <is>
          <t>80055866</t>
        </is>
      </c>
      <c r="B25" s="2" t="inlineStr"/>
      <c r="C25" s="6" t="n">
        <v>36.67</v>
      </c>
      <c r="D25" s="6" t="n">
        <v>36.67</v>
      </c>
      <c r="E25" s="2">
        <f>ABS(C25-D25)&lt;1</f>
        <v/>
      </c>
    </row>
    <row r="26">
      <c r="A26" s="2" t="inlineStr">
        <is>
          <t>80058688</t>
        </is>
      </c>
      <c r="B26" s="2" t="inlineStr"/>
      <c r="C26" s="6" t="n">
        <v>-36.44</v>
      </c>
      <c r="D26" s="6" t="n">
        <v>-36.44</v>
      </c>
      <c r="E26" s="2">
        <f>ABS(C26-D26)&lt;1</f>
        <v/>
      </c>
    </row>
    <row r="27">
      <c r="A27" s="2" t="inlineStr">
        <is>
          <t>80055126</t>
        </is>
      </c>
      <c r="B27" s="2" t="inlineStr"/>
      <c r="C27" s="6" t="n">
        <v>-36.44</v>
      </c>
      <c r="D27" s="6" t="n">
        <v>-36.44</v>
      </c>
      <c r="E27" s="2">
        <f>ABS(C27-D27)&lt;1</f>
        <v/>
      </c>
    </row>
    <row r="28">
      <c r="A28" s="2" t="inlineStr">
        <is>
          <t>80019297</t>
        </is>
      </c>
      <c r="B28" s="2" t="inlineStr"/>
      <c r="C28" s="6" t="n">
        <v>36.35</v>
      </c>
      <c r="D28" s="6" t="n">
        <v>36.35</v>
      </c>
      <c r="E28" s="2">
        <f>ABS(C28-D28)&lt;1</f>
        <v/>
      </c>
    </row>
    <row r="29">
      <c r="A29" s="2" t="inlineStr">
        <is>
          <t>80045267</t>
        </is>
      </c>
      <c r="B29" s="2" t="inlineStr"/>
      <c r="C29" s="6" t="n">
        <v>36.3</v>
      </c>
      <c r="D29" s="6" t="n">
        <v>36.3</v>
      </c>
      <c r="E29" s="2">
        <f>ABS(C29-D29)&lt;1</f>
        <v/>
      </c>
    </row>
    <row r="30">
      <c r="A30" s="2" t="inlineStr">
        <is>
          <t>80050974</t>
        </is>
      </c>
      <c r="B30" s="2" t="inlineStr"/>
      <c r="C30" s="6" t="n">
        <v>36.3</v>
      </c>
      <c r="D30" s="6" t="n">
        <v>36.3</v>
      </c>
      <c r="E30" s="2">
        <f>ABS(C30-D30)&lt;1</f>
        <v/>
      </c>
    </row>
    <row r="31">
      <c r="A31" s="2" t="inlineStr">
        <is>
          <t>80052202</t>
        </is>
      </c>
      <c r="B31" s="2" t="inlineStr"/>
      <c r="C31" s="6" t="n">
        <v>-36.3</v>
      </c>
      <c r="D31" s="6" t="n">
        <v>-36.3</v>
      </c>
      <c r="E31" s="2">
        <f>ABS(C31-D31)&lt;1</f>
        <v/>
      </c>
    </row>
    <row r="32">
      <c r="A32" s="2" t="inlineStr">
        <is>
          <t>80050193</t>
        </is>
      </c>
      <c r="B32" s="2" t="inlineStr"/>
      <c r="C32" s="6" t="n">
        <v>-36.21</v>
      </c>
      <c r="D32" s="6" t="n">
        <v>-36.21</v>
      </c>
      <c r="E32" s="2">
        <f>ABS(C32-D32)&lt;1</f>
        <v/>
      </c>
    </row>
    <row r="33">
      <c r="A33" s="2" t="inlineStr">
        <is>
          <t>80081315</t>
        </is>
      </c>
      <c r="B33" s="2" t="inlineStr"/>
      <c r="C33" s="6" t="n">
        <v>-36.21</v>
      </c>
      <c r="D33" s="6" t="n">
        <v>-36.21</v>
      </c>
      <c r="E33" s="2">
        <f>ABS(C33-D33)&lt;1</f>
        <v/>
      </c>
    </row>
    <row r="34">
      <c r="A34" s="2" t="inlineStr">
        <is>
          <t>80046573</t>
        </is>
      </c>
      <c r="B34" s="2" t="inlineStr"/>
      <c r="C34" s="6" t="n">
        <v>36.15</v>
      </c>
      <c r="D34" s="6" t="n">
        <v>36.15</v>
      </c>
      <c r="E34" s="2">
        <f>ABS(C34-D34)&lt;1</f>
        <v/>
      </c>
    </row>
    <row r="35">
      <c r="A35" s="2" t="inlineStr">
        <is>
          <t>80043258</t>
        </is>
      </c>
      <c r="B35" s="2" t="inlineStr"/>
      <c r="C35" s="6" t="n">
        <v>36.09</v>
      </c>
      <c r="D35" s="6" t="n">
        <v>36.09</v>
      </c>
      <c r="E35" s="2">
        <f>ABS(C35-D35)&lt;1</f>
        <v/>
      </c>
    </row>
    <row r="36">
      <c r="A36" s="2" t="inlineStr">
        <is>
          <t>80054672</t>
        </is>
      </c>
      <c r="B36" s="2" t="inlineStr"/>
      <c r="C36" s="6" t="n">
        <v>-36.06</v>
      </c>
      <c r="D36" s="6" t="n">
        <v>-36.06</v>
      </c>
      <c r="E36" s="2">
        <f>ABS(C36-D36)&lt;1</f>
        <v/>
      </c>
    </row>
    <row r="37">
      <c r="A37" s="2" t="inlineStr">
        <is>
          <t>80056614</t>
        </is>
      </c>
      <c r="B37" s="2" t="inlineStr"/>
      <c r="C37" s="6" t="n">
        <v>35.98</v>
      </c>
      <c r="D37" s="6" t="n">
        <v>35.98</v>
      </c>
      <c r="E37" s="2">
        <f>ABS(C37-D37)&lt;1</f>
        <v/>
      </c>
    </row>
    <row r="38">
      <c r="A38" s="2" t="inlineStr">
        <is>
          <t>80006415</t>
        </is>
      </c>
      <c r="B38" s="2" t="inlineStr"/>
      <c r="C38" s="6" t="n">
        <v>34.78</v>
      </c>
      <c r="D38" s="6" t="n">
        <v>34.78</v>
      </c>
      <c r="E38" s="2">
        <f>ABS(C38-D38)&lt;1</f>
        <v/>
      </c>
    </row>
    <row r="39">
      <c r="A39" s="2" t="inlineStr">
        <is>
          <t>80009564</t>
        </is>
      </c>
      <c r="B39" s="2" t="inlineStr"/>
      <c r="C39" s="6" t="n">
        <v>25.53</v>
      </c>
      <c r="D39" s="6" t="n">
        <v>25.53</v>
      </c>
      <c r="E39" s="2">
        <f>ABS(C39-D39)&lt;1</f>
        <v/>
      </c>
    </row>
    <row r="40">
      <c r="A40" s="2" t="inlineStr">
        <is>
          <t>80046295</t>
        </is>
      </c>
      <c r="B40" s="2" t="inlineStr"/>
      <c r="C40" s="6" t="n">
        <v>-25.47</v>
      </c>
      <c r="D40" s="6" t="n">
        <v>-25.47</v>
      </c>
      <c r="E40" s="2">
        <f>ABS(C40-D40)&lt;1</f>
        <v/>
      </c>
    </row>
    <row r="41">
      <c r="A41" s="2" t="inlineStr">
        <is>
          <t>80044858</t>
        </is>
      </c>
      <c r="B41" s="2" t="inlineStr"/>
      <c r="C41" s="6" t="n">
        <v>-25.47</v>
      </c>
      <c r="D41" s="6" t="n">
        <v>-25.47</v>
      </c>
      <c r="E41" s="2">
        <f>ABS(C41-D41)&lt;1</f>
        <v/>
      </c>
    </row>
    <row r="42">
      <c r="A42" s="2" t="inlineStr">
        <is>
          <t>80059306</t>
        </is>
      </c>
      <c r="B42" s="2" t="inlineStr"/>
      <c r="C42" s="6" t="n">
        <v>-25.47</v>
      </c>
      <c r="D42" s="6" t="n">
        <v>-25.47</v>
      </c>
      <c r="E42" s="2">
        <f>ABS(C42-D42)&lt;1</f>
        <v/>
      </c>
    </row>
    <row r="43">
      <c r="A43" s="2" t="inlineStr">
        <is>
          <t>80042681</t>
        </is>
      </c>
      <c r="B43" s="2" t="inlineStr"/>
      <c r="C43" s="6" t="n">
        <v>-25.47</v>
      </c>
      <c r="D43" s="6" t="n">
        <v>-25.47</v>
      </c>
      <c r="E43" s="2">
        <f>ABS(C43-D43)&lt;1</f>
        <v/>
      </c>
    </row>
    <row r="44">
      <c r="A44" s="2" t="inlineStr">
        <is>
          <t>80050310</t>
        </is>
      </c>
      <c r="B44" s="2" t="inlineStr"/>
      <c r="C44" s="6" t="n">
        <v>-25.47</v>
      </c>
      <c r="D44" s="6" t="n">
        <v>-25.47</v>
      </c>
      <c r="E44" s="2">
        <f>ABS(C44-D44)&lt;1</f>
        <v/>
      </c>
    </row>
    <row r="45">
      <c r="A45" s="2" t="inlineStr">
        <is>
          <t>80056999</t>
        </is>
      </c>
      <c r="B45" s="2" t="inlineStr"/>
      <c r="C45" s="6" t="n">
        <v>-25.47</v>
      </c>
      <c r="D45" s="6" t="n">
        <v>-25.47</v>
      </c>
      <c r="E45" s="2">
        <f>ABS(C45-D45)&lt;1</f>
        <v/>
      </c>
    </row>
    <row r="46">
      <c r="A46" s="2" t="inlineStr">
        <is>
          <t>80056961</t>
        </is>
      </c>
      <c r="B46" s="2" t="inlineStr"/>
      <c r="C46" s="6" t="n">
        <v>-25.47</v>
      </c>
      <c r="D46" s="6" t="n">
        <v>-25.47</v>
      </c>
      <c r="E46" s="2">
        <f>ABS(C46-D46)&lt;1</f>
        <v/>
      </c>
    </row>
    <row r="47">
      <c r="A47" s="2" t="inlineStr">
        <is>
          <t>80045104</t>
        </is>
      </c>
      <c r="B47" s="2" t="inlineStr"/>
      <c r="C47" s="6" t="n">
        <v>-25.47</v>
      </c>
      <c r="D47" s="6" t="n">
        <v>-25.47</v>
      </c>
      <c r="E47" s="2">
        <f>ABS(C47-D47)&lt;1</f>
        <v/>
      </c>
    </row>
    <row r="48">
      <c r="A48" s="2" t="inlineStr">
        <is>
          <t>80045547</t>
        </is>
      </c>
      <c r="B48" s="2" t="inlineStr"/>
      <c r="C48" s="6" t="n">
        <v>-25.47</v>
      </c>
      <c r="D48" s="6" t="n">
        <v>-25.47</v>
      </c>
      <c r="E48" s="2">
        <f>ABS(C48-D48)&lt;1</f>
        <v/>
      </c>
    </row>
    <row r="49">
      <c r="A49" s="2" t="inlineStr">
        <is>
          <t>80045573</t>
        </is>
      </c>
      <c r="B49" s="2" t="inlineStr"/>
      <c r="C49" s="6" t="n">
        <v>-25.47</v>
      </c>
      <c r="D49" s="6" t="n">
        <v>-25.47</v>
      </c>
      <c r="E49" s="2">
        <f>ABS(C49-D49)&lt;1</f>
        <v/>
      </c>
    </row>
    <row r="50">
      <c r="A50" s="2" t="inlineStr">
        <is>
          <t>80057006</t>
        </is>
      </c>
      <c r="B50" s="2" t="inlineStr"/>
      <c r="C50" s="6" t="n">
        <v>-25.47</v>
      </c>
      <c r="D50" s="6" t="n">
        <v>-25.47</v>
      </c>
      <c r="E50" s="2">
        <f>ABS(C50-D50)&lt;1</f>
        <v/>
      </c>
    </row>
    <row r="51">
      <c r="A51" s="2" t="inlineStr">
        <is>
          <t>80056969</t>
        </is>
      </c>
      <c r="B51" s="2" t="inlineStr"/>
      <c r="C51" s="6" t="n">
        <v>-25.47</v>
      </c>
      <c r="D51" s="6" t="n">
        <v>-25.47</v>
      </c>
      <c r="E51" s="2">
        <f>ABS(C51-D51)&lt;1</f>
        <v/>
      </c>
    </row>
  </sheetData>
  <conditionalFormatting sqref="A2:E51">
    <cfRule type="expression" priority="1" dxfId="1">
      <formula>$E2=TRUE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overallDelta</t>
        </is>
      </c>
    </row>
    <row r="2">
      <c r="A2" t="n">
        <v>-38.89</v>
      </c>
    </row>
    <row r="3">
      <c r="A3" t="n">
        <v>-38.89</v>
      </c>
    </row>
    <row r="4">
      <c r="A4" t="n">
        <v>-38.69</v>
      </c>
    </row>
    <row r="5">
      <c r="A5" t="n">
        <v>-38.67</v>
      </c>
    </row>
    <row r="6">
      <c r="A6" t="n">
        <v>37.84</v>
      </c>
    </row>
    <row r="7">
      <c r="A7" t="n">
        <v>37.84</v>
      </c>
    </row>
    <row r="8">
      <c r="A8" t="n">
        <v>37.83</v>
      </c>
    </row>
    <row r="9">
      <c r="A9" t="n">
        <v>37.13</v>
      </c>
    </row>
    <row r="10">
      <c r="A10" t="n">
        <v>37.13</v>
      </c>
    </row>
    <row r="11">
      <c r="A11" t="n">
        <v>37.13</v>
      </c>
    </row>
    <row r="12">
      <c r="A12" t="n">
        <v>37.13</v>
      </c>
    </row>
    <row r="13">
      <c r="A13" t="n">
        <v>37.13</v>
      </c>
    </row>
    <row r="14">
      <c r="A14" t="n">
        <v>37.13</v>
      </c>
    </row>
    <row r="15">
      <c r="A15" t="n">
        <v>37.13</v>
      </c>
    </row>
    <row r="16">
      <c r="A16" t="n">
        <v>37.13</v>
      </c>
    </row>
    <row r="17">
      <c r="A17" t="n">
        <v>37.13</v>
      </c>
    </row>
    <row r="18">
      <c r="A18" t="n">
        <v>37.13</v>
      </c>
    </row>
    <row r="19">
      <c r="A19" t="n">
        <v>37.13</v>
      </c>
    </row>
    <row r="20">
      <c r="A20" t="n">
        <v>37.13</v>
      </c>
    </row>
    <row r="21">
      <c r="A21" t="n">
        <v>-37.13</v>
      </c>
    </row>
    <row r="22">
      <c r="A22" t="n">
        <v>37.13</v>
      </c>
    </row>
    <row r="23">
      <c r="A23" t="n">
        <v>37.13</v>
      </c>
    </row>
    <row r="24">
      <c r="A24" t="n">
        <v>-36.67</v>
      </c>
    </row>
    <row r="25">
      <c r="A25" t="n">
        <v>36.67</v>
      </c>
    </row>
    <row r="26">
      <c r="A26" t="n">
        <v>-36.44</v>
      </c>
    </row>
    <row r="27">
      <c r="A27" t="n">
        <v>-36.44</v>
      </c>
    </row>
    <row r="28">
      <c r="A28" t="n">
        <v>36.35</v>
      </c>
    </row>
    <row r="29">
      <c r="A29" t="n">
        <v>36.3</v>
      </c>
    </row>
    <row r="30">
      <c r="A30" t="n">
        <v>36.3</v>
      </c>
    </row>
    <row r="31">
      <c r="A31" t="n">
        <v>-36.3</v>
      </c>
    </row>
    <row r="32">
      <c r="A32" t="n">
        <v>-36.21</v>
      </c>
    </row>
    <row r="33">
      <c r="A33" t="n">
        <v>-36.21</v>
      </c>
    </row>
    <row r="34">
      <c r="A34" t="n">
        <v>36.15</v>
      </c>
    </row>
    <row r="35">
      <c r="A35" t="n">
        <v>36.09</v>
      </c>
    </row>
    <row r="36">
      <c r="A36" t="n">
        <v>-36.06</v>
      </c>
    </row>
    <row r="37">
      <c r="A37" t="n">
        <v>35.98</v>
      </c>
    </row>
    <row r="38">
      <c r="A38" t="n">
        <v>34.78</v>
      </c>
    </row>
    <row r="39">
      <c r="A39" t="n">
        <v>25.53</v>
      </c>
    </row>
    <row r="40">
      <c r="A40" t="n">
        <v>-25.47</v>
      </c>
    </row>
    <row r="41">
      <c r="A41" t="n">
        <v>-25.47</v>
      </c>
    </row>
    <row r="42">
      <c r="A42" t="n">
        <v>-25.47</v>
      </c>
    </row>
    <row r="43">
      <c r="A43" t="n">
        <v>-25.47</v>
      </c>
    </row>
    <row r="44">
      <c r="A44" t="n">
        <v>-25.47</v>
      </c>
    </row>
    <row r="45">
      <c r="A45" t="n">
        <v>-25.47</v>
      </c>
    </row>
    <row r="46">
      <c r="A46" t="n">
        <v>-25.47</v>
      </c>
    </row>
    <row r="47">
      <c r="A47" t="n">
        <v>-25.47</v>
      </c>
    </row>
    <row r="48">
      <c r="A48" t="n">
        <v>-25.47</v>
      </c>
    </row>
    <row r="49">
      <c r="A49" t="n">
        <v>-25.47</v>
      </c>
    </row>
    <row r="50">
      <c r="A50" t="n">
        <v>-25.47</v>
      </c>
    </row>
    <row r="51">
      <c r="A51" t="n">
        <v>-25.47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4" customWidth="1" min="4" max="4"/>
  </cols>
  <sheetData>
    <row r="1">
      <c r="A1" s="1" t="inlineStr">
        <is>
          <t>Delta Value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Potential Cause</t>
        </is>
      </c>
    </row>
    <row r="2">
      <c r="A2" s="6" t="n">
        <v>37.13</v>
      </c>
      <c r="B2" s="4">
        <f>COUNTIF(_raw_deltas!$A:$A, A2)</f>
        <v/>
      </c>
      <c r="C2" s="7">
        <f>IF(SUM($B$2:$B$22)=0,0,B2/SUM($B$2:$B$22))</f>
        <v/>
      </c>
      <c r="D2" s="2" t="inlineStr"/>
    </row>
    <row r="3">
      <c r="A3" s="6" t="n">
        <v>-25.47</v>
      </c>
      <c r="B3" s="4">
        <f>COUNTIF(_raw_deltas!$A:$A, A3)</f>
        <v/>
      </c>
      <c r="C3" s="7">
        <f>IF(SUM($B$2:$B$22)=0,0,B3/SUM($B$2:$B$22))</f>
        <v/>
      </c>
      <c r="D3" s="2" t="inlineStr"/>
    </row>
    <row r="4">
      <c r="A4" s="6" t="n">
        <v>-38.89</v>
      </c>
      <c r="B4" s="4">
        <f>COUNTIF(_raw_deltas!$A:$A, A4)</f>
        <v/>
      </c>
      <c r="C4" s="7">
        <f>IF(SUM($B$2:$B$22)=0,0,B4/SUM($B$2:$B$22))</f>
        <v/>
      </c>
      <c r="D4" s="2" t="inlineStr"/>
    </row>
    <row r="5">
      <c r="A5" s="6" t="n">
        <v>37.84</v>
      </c>
      <c r="B5" s="4">
        <f>COUNTIF(_raw_deltas!$A:$A, A5)</f>
        <v/>
      </c>
      <c r="C5" s="7">
        <f>IF(SUM($B$2:$B$22)=0,0,B5/SUM($B$2:$B$22))</f>
        <v/>
      </c>
      <c r="D5" s="2" t="inlineStr"/>
    </row>
    <row r="6">
      <c r="A6" s="6" t="n">
        <v>-36.44</v>
      </c>
      <c r="B6" s="4">
        <f>COUNTIF(_raw_deltas!$A:$A, A6)</f>
        <v/>
      </c>
      <c r="C6" s="7">
        <f>IF(SUM($B$2:$B$22)=0,0,B6/SUM($B$2:$B$22))</f>
        <v/>
      </c>
      <c r="D6" s="2" t="inlineStr"/>
    </row>
    <row r="7">
      <c r="A7" s="6" t="n">
        <v>36.3</v>
      </c>
      <c r="B7" s="4">
        <f>COUNTIF(_raw_deltas!$A:$A, A7)</f>
        <v/>
      </c>
      <c r="C7" s="7">
        <f>IF(SUM($B$2:$B$22)=0,0,B7/SUM($B$2:$B$22))</f>
        <v/>
      </c>
      <c r="D7" s="2" t="inlineStr"/>
    </row>
    <row r="8">
      <c r="A8" s="6" t="n">
        <v>-36.21</v>
      </c>
      <c r="B8" s="4">
        <f>COUNTIF(_raw_deltas!$A:$A, A8)</f>
        <v/>
      </c>
      <c r="C8" s="7">
        <f>IF(SUM($B$2:$B$22)=0,0,B8/SUM($B$2:$B$22))</f>
        <v/>
      </c>
      <c r="D8" s="2" t="inlineStr"/>
    </row>
    <row r="9">
      <c r="A9" s="6" t="n">
        <v>-38.69</v>
      </c>
      <c r="B9" s="4">
        <f>COUNTIF(_raw_deltas!$A:$A, A9)</f>
        <v/>
      </c>
      <c r="C9" s="7">
        <f>IF(SUM($B$2:$B$22)=0,0,B9/SUM($B$2:$B$22))</f>
        <v/>
      </c>
      <c r="D9" s="2" t="inlineStr"/>
    </row>
    <row r="10">
      <c r="A10" s="6" t="n">
        <v>-38.67</v>
      </c>
      <c r="B10" s="4">
        <f>COUNTIF(_raw_deltas!$A:$A, A10)</f>
        <v/>
      </c>
      <c r="C10" s="7">
        <f>IF(SUM($B$2:$B$22)=0,0,B10/SUM($B$2:$B$22))</f>
        <v/>
      </c>
      <c r="D10" s="2" t="inlineStr"/>
    </row>
    <row r="11">
      <c r="A11" s="6" t="n">
        <v>37.83</v>
      </c>
      <c r="B11" s="4">
        <f>COUNTIF(_raw_deltas!$A:$A, A11)</f>
        <v/>
      </c>
      <c r="C11" s="7">
        <f>IF(SUM($B$2:$B$22)=0,0,B11/SUM($B$2:$B$22))</f>
        <v/>
      </c>
      <c r="D11" s="2" t="inlineStr"/>
    </row>
    <row r="12">
      <c r="A12" s="6" t="n">
        <v>-37.13</v>
      </c>
      <c r="B12" s="4">
        <f>COUNTIF(_raw_deltas!$A:$A, A12)</f>
        <v/>
      </c>
      <c r="C12" s="7">
        <f>IF(SUM($B$2:$B$22)=0,0,B12/SUM($B$2:$B$22))</f>
        <v/>
      </c>
      <c r="D12" s="2" t="inlineStr"/>
    </row>
    <row r="13">
      <c r="A13" s="6" t="n">
        <v>-36.67</v>
      </c>
      <c r="B13" s="4">
        <f>COUNTIF(_raw_deltas!$A:$A, A13)</f>
        <v/>
      </c>
      <c r="C13" s="7">
        <f>IF(SUM($B$2:$B$22)=0,0,B13/SUM($B$2:$B$22))</f>
        <v/>
      </c>
      <c r="D13" s="2" t="inlineStr"/>
    </row>
    <row r="14">
      <c r="A14" s="6" t="n">
        <v>36.67</v>
      </c>
      <c r="B14" s="4">
        <f>COUNTIF(_raw_deltas!$A:$A, A14)</f>
        <v/>
      </c>
      <c r="C14" s="7">
        <f>IF(SUM($B$2:$B$22)=0,0,B14/SUM($B$2:$B$22))</f>
        <v/>
      </c>
      <c r="D14" s="2" t="inlineStr"/>
    </row>
    <row r="15">
      <c r="A15" s="6" t="n">
        <v>36.35</v>
      </c>
      <c r="B15" s="4">
        <f>COUNTIF(_raw_deltas!$A:$A, A15)</f>
        <v/>
      </c>
      <c r="C15" s="7">
        <f>IF(SUM($B$2:$B$22)=0,0,B15/SUM($B$2:$B$22))</f>
        <v/>
      </c>
      <c r="D15" s="2" t="inlineStr"/>
    </row>
    <row r="16">
      <c r="A16" s="6" t="n">
        <v>-36.3</v>
      </c>
      <c r="B16" s="4">
        <f>COUNTIF(_raw_deltas!$A:$A, A16)</f>
        <v/>
      </c>
      <c r="C16" s="7">
        <f>IF(SUM($B$2:$B$22)=0,0,B16/SUM($B$2:$B$22))</f>
        <v/>
      </c>
      <c r="D16" s="2" t="inlineStr"/>
    </row>
    <row r="17">
      <c r="A17" s="6" t="n">
        <v>36.15</v>
      </c>
      <c r="B17" s="4">
        <f>COUNTIF(_raw_deltas!$A:$A, A17)</f>
        <v/>
      </c>
      <c r="C17" s="7">
        <f>IF(SUM($B$2:$B$22)=0,0,B17/SUM($B$2:$B$22))</f>
        <v/>
      </c>
      <c r="D17" s="2" t="inlineStr"/>
    </row>
    <row r="18">
      <c r="A18" s="6" t="n">
        <v>36.09</v>
      </c>
      <c r="B18" s="4">
        <f>COUNTIF(_raw_deltas!$A:$A, A18)</f>
        <v/>
      </c>
      <c r="C18" s="7">
        <f>IF(SUM($B$2:$B$22)=0,0,B18/SUM($B$2:$B$22))</f>
        <v/>
      </c>
      <c r="D18" s="2" t="inlineStr"/>
    </row>
    <row r="19">
      <c r="A19" s="6" t="n">
        <v>-36.06</v>
      </c>
      <c r="B19" s="4">
        <f>COUNTIF(_raw_deltas!$A:$A, A19)</f>
        <v/>
      </c>
      <c r="C19" s="7">
        <f>IF(SUM($B$2:$B$22)=0,0,B19/SUM($B$2:$B$22))</f>
        <v/>
      </c>
      <c r="D19" s="2" t="inlineStr"/>
    </row>
    <row r="20">
      <c r="A20" s="6" t="n">
        <v>35.98</v>
      </c>
      <c r="B20" s="4">
        <f>COUNTIF(_raw_deltas!$A:$A, A20)</f>
        <v/>
      </c>
      <c r="C20" s="7">
        <f>IF(SUM($B$2:$B$22)=0,0,B20/SUM($B$2:$B$22))</f>
        <v/>
      </c>
      <c r="D20" s="2" t="inlineStr"/>
    </row>
    <row r="21">
      <c r="A21" s="6" t="n">
        <v>34.78</v>
      </c>
      <c r="B21" s="4">
        <f>COUNTIF(_raw_deltas!$A:$A, A21)</f>
        <v/>
      </c>
      <c r="C21" s="7">
        <f>IF(SUM($B$2:$B$22)=0,0,B21/SUM($B$2:$B$22))</f>
        <v/>
      </c>
      <c r="D21" s="2" t="inlineStr"/>
    </row>
    <row r="22">
      <c r="A22" s="6" t="n">
        <v>25.53</v>
      </c>
      <c r="B22" s="4">
        <f>COUNTIF(_raw_deltas!$A:$A, A22)</f>
        <v/>
      </c>
      <c r="C22" s="7">
        <f>IF(SUM($B$2:$B$22)=0,0,B22/SUM($B$2:$B$22))</f>
        <v/>
      </c>
      <c r="D22" s="2" t="inlineStr"/>
    </row>
  </sheetData>
  <conditionalFormatting sqref="A2:C22">
    <cfRule type="expression" priority="1" dxfId="1">
      <formula>$B2&gt;=2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4" customWidth="1" min="3" max="3"/>
  </cols>
  <sheetData>
    <row r="1">
      <c r="A1" s="1" t="inlineStr">
        <is>
          <t>Failure Type</t>
        </is>
      </c>
      <c r="B1" s="1" t="inlineStr">
        <is>
          <t>Impacted Source ID</t>
        </is>
      </c>
      <c r="C1" s="1" t="inlineStr">
        <is>
          <t>Action</t>
        </is>
      </c>
    </row>
    <row r="2">
      <c r="A2" s="8" t="inlineStr">
        <is>
          <t>Source ID Not Found (需立即清洗)</t>
        </is>
      </c>
      <c r="B2" s="8" t="inlineStr">
        <is>
          <t>80015047</t>
        </is>
      </c>
      <c r="C2" s="8" t="inlineStr">
        <is>
          <t>Delete from Input 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2026-01-24T19:48:37Z</dcterms:created>
  <dcterms:modified xsi:type="dcterms:W3CDTF">2026-01-24T19:48:37Z</dcterms:modified>
</cp:coreProperties>
</file>